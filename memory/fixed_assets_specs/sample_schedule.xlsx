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abd9c1a3905eaffe/Transform/Vibe Coding/Fixed Assets and Depreciation/IT Depreciation/"/>
    </mc:Choice>
  </mc:AlternateContent>
  <xr:revisionPtr revIDLastSave="14" documentId="11_F25DC773A252ABDACC1048B1811A6FEE5ADE58EA" xr6:coauthVersionLast="47" xr6:coauthVersionMax="47" xr10:uidLastSave="{CC742B87-7E49-45EA-A0CA-D226E7F17FBF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" l="1"/>
  <c r="K20" i="1"/>
  <c r="G20" i="1"/>
  <c r="F20" i="1"/>
  <c r="D20" i="1"/>
  <c r="C20" i="1"/>
  <c r="J19" i="1"/>
  <c r="M19" i="1" s="1"/>
  <c r="J18" i="1"/>
  <c r="M18" i="1" s="1"/>
  <c r="J17" i="1"/>
  <c r="M17" i="1" s="1"/>
  <c r="I17" i="1"/>
  <c r="J16" i="1"/>
  <c r="M16" i="1" s="1"/>
  <c r="J15" i="1"/>
  <c r="M15" i="1" s="1"/>
  <c r="H20" i="1"/>
  <c r="J14" i="1"/>
  <c r="M14" i="1" s="1"/>
  <c r="J13" i="1"/>
  <c r="M13" i="1" s="1"/>
  <c r="J12" i="1"/>
  <c r="A1" i="1"/>
  <c r="N17" i="1" l="1"/>
  <c r="J20" i="1"/>
  <c r="M12" i="1"/>
  <c r="M20" i="1" s="1"/>
  <c r="I16" i="1"/>
  <c r="N16" i="1" s="1"/>
  <c r="E20" i="1"/>
  <c r="I15" i="1"/>
  <c r="N15" i="1" s="1"/>
  <c r="I19" i="1"/>
  <c r="N19" i="1" s="1"/>
  <c r="I12" i="1"/>
  <c r="I14" i="1"/>
  <c r="N14" i="1" s="1"/>
  <c r="I18" i="1"/>
  <c r="N18" i="1" s="1"/>
  <c r="I13" i="1"/>
  <c r="N13" i="1" s="1"/>
  <c r="N12" i="1" l="1"/>
  <c r="N20" i="1" s="1"/>
  <c r="I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4" authorId="0" shapeId="0" xr:uid="{EF78C3B0-D63F-4D10-8844-E97E96B38D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15%</t>
        </r>
      </text>
    </comment>
    <comment ref="D14" authorId="0" shapeId="0" xr:uid="{E68D369A-C2D1-4535-89BD-E59F39008C6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35%</t>
        </r>
      </text>
    </comment>
    <comment ref="E14" authorId="0" shapeId="0" xr:uid="{D65CD8C0-833C-4A66-BC95-0E32B81396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35%</t>
        </r>
      </text>
    </comment>
    <comment ref="F14" authorId="0" shapeId="0" xr:uid="{1577597C-6474-49CF-933A-8A7DAD088A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7.5%</t>
        </r>
      </text>
    </comment>
  </commentList>
</comments>
</file>

<file path=xl/sharedStrings.xml><?xml version="1.0" encoding="utf-8"?>
<sst xmlns="http://schemas.openxmlformats.org/spreadsheetml/2006/main" count="66" uniqueCount="45">
  <si>
    <t>Yes</t>
  </si>
  <si>
    <t>No</t>
  </si>
  <si>
    <t xml:space="preserve">IT Depreciation for the period from </t>
  </si>
  <si>
    <t>to</t>
  </si>
  <si>
    <t xml:space="preserve">Rate of </t>
  </si>
  <si>
    <t>Net Block</t>
  </si>
  <si>
    <t>ADDITIONS DURING THE YEAR</t>
  </si>
  <si>
    <t>Deletion</t>
  </si>
  <si>
    <t>TOTAL</t>
  </si>
  <si>
    <t>Depreciation</t>
  </si>
  <si>
    <t>Additional Depreciation</t>
  </si>
  <si>
    <t>Total 
Depreciation</t>
  </si>
  <si>
    <t xml:space="preserve">Net Block </t>
  </si>
  <si>
    <t>PARTICULARS</t>
  </si>
  <si>
    <t>Depn</t>
  </si>
  <si>
    <t>W.D.V as on</t>
  </si>
  <si>
    <t>Before Sept</t>
  </si>
  <si>
    <t>After Sept</t>
  </si>
  <si>
    <t>Exchange 
Fluctuation 
Loss / (Gain)</t>
  </si>
  <si>
    <t>as per sec</t>
  </si>
  <si>
    <t>during</t>
  </si>
  <si>
    <t xml:space="preserve">as on </t>
  </si>
  <si>
    <t xml:space="preserve">for the </t>
  </si>
  <si>
    <t xml:space="preserve">1st </t>
  </si>
  <si>
    <t xml:space="preserve">2nd </t>
  </si>
  <si>
    <t>W.D.V As on</t>
  </si>
  <si>
    <t>43(1)</t>
  </si>
  <si>
    <t>the year</t>
  </si>
  <si>
    <t>year</t>
  </si>
  <si>
    <t>Half</t>
  </si>
  <si>
    <t>31-03-2025</t>
  </si>
  <si>
    <t>Rs.</t>
  </si>
  <si>
    <t>Freehold Land</t>
  </si>
  <si>
    <t>0</t>
  </si>
  <si>
    <t>Building</t>
  </si>
  <si>
    <t>10%</t>
  </si>
  <si>
    <t>Plant and Machinery</t>
  </si>
  <si>
    <t>15%</t>
  </si>
  <si>
    <t>Other Machinery</t>
  </si>
  <si>
    <t>40%</t>
  </si>
  <si>
    <t>Office Equipments</t>
  </si>
  <si>
    <t xml:space="preserve">Vehicles </t>
  </si>
  <si>
    <t>Furniture &amp; Fittings</t>
  </si>
  <si>
    <t>Computer &amp; Accessories</t>
  </si>
  <si>
    <t xml:space="preserve">Additional Depreciation Applicable?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</si>
</sst>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2" fillId="0" borderId="0" xfId="0" applyFont="1"/>
    <xf numFmtId="14" fontId="0" fillId="0" borderId="0" xfId="0" applyNumberFormat="1"/>
    <xf numFmtId="14" fontId="3" fillId="0" borderId="0" xfId="0" applyNumberFormat="1" applyFont="1" applyAlignment="1">
      <alignment horizontal="right"/>
    </xf>
    <xf numFmtId="14" fontId="3" fillId="2" borderId="0" xfId="0" applyNumberFormat="1" applyFont="1" applyFill="1"/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5" fillId="0" borderId="3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49" fontId="5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/>
    </xf>
    <xf numFmtId="3" fontId="5" fillId="0" borderId="8" xfId="0" applyNumberFormat="1" applyFont="1" applyBorder="1" applyAlignment="1">
      <alignment horizontal="center"/>
    </xf>
    <xf numFmtId="3" fontId="5" fillId="0" borderId="8" xfId="0" applyNumberFormat="1" applyFont="1" applyBorder="1" applyAlignment="1">
      <alignment horizontal="center" wrapText="1"/>
    </xf>
    <xf numFmtId="3" fontId="5" fillId="0" borderId="0" xfId="0" applyNumberFormat="1" applyFont="1" applyAlignment="1">
      <alignment horizontal="center"/>
    </xf>
    <xf numFmtId="3" fontId="5" fillId="0" borderId="9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49" fontId="5" fillId="0" borderId="10" xfId="0" applyNumberFormat="1" applyFont="1" applyBorder="1" applyAlignment="1">
      <alignment horizontal="center" vertical="center"/>
    </xf>
    <xf numFmtId="14" fontId="5" fillId="0" borderId="10" xfId="0" quotePrefix="1" applyNumberFormat="1" applyFont="1" applyBorder="1" applyAlignment="1">
      <alignment horizontal="center"/>
    </xf>
    <xf numFmtId="1" fontId="5" fillId="0" borderId="11" xfId="0" quotePrefix="1" applyNumberFormat="1" applyFont="1" applyBorder="1" applyAlignment="1">
      <alignment horizontal="center"/>
    </xf>
    <xf numFmtId="1" fontId="5" fillId="0" borderId="12" xfId="0" quotePrefix="1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 wrapText="1"/>
    </xf>
    <xf numFmtId="14" fontId="5" fillId="0" borderId="13" xfId="0" quotePrefix="1" applyNumberFormat="1" applyFont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3" fontId="5" fillId="0" borderId="14" xfId="0" applyNumberFormat="1" applyFont="1" applyBorder="1" applyAlignment="1">
      <alignment horizontal="center"/>
    </xf>
    <xf numFmtId="43" fontId="5" fillId="0" borderId="14" xfId="1" applyFont="1" applyFill="1" applyBorder="1" applyAlignment="1">
      <alignment horizontal="center"/>
    </xf>
    <xf numFmtId="0" fontId="6" fillId="0" borderId="14" xfId="0" applyFont="1" applyBorder="1" applyAlignment="1">
      <alignment vertical="center"/>
    </xf>
    <xf numFmtId="49" fontId="6" fillId="0" borderId="14" xfId="0" applyNumberFormat="1" applyFont="1" applyBorder="1" applyAlignment="1">
      <alignment horizontal="center" vertical="center"/>
    </xf>
    <xf numFmtId="164" fontId="6" fillId="2" borderId="14" xfId="1" applyNumberFormat="1" applyFont="1" applyFill="1" applyBorder="1" applyAlignment="1">
      <alignment horizontal="right" vertical="center"/>
    </xf>
    <xf numFmtId="43" fontId="6" fillId="0" borderId="14" xfId="1" applyFont="1" applyFill="1" applyBorder="1" applyAlignment="1">
      <alignment horizontal="right" vertical="center"/>
    </xf>
    <xf numFmtId="164" fontId="6" fillId="0" borderId="14" xfId="1" applyNumberFormat="1" applyFont="1" applyFill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6" fillId="0" borderId="14" xfId="0" quotePrefix="1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3" fontId="5" fillId="0" borderId="14" xfId="0" applyNumberFormat="1" applyFont="1" applyBorder="1" applyAlignment="1">
      <alignment vertical="center"/>
    </xf>
    <xf numFmtId="43" fontId="5" fillId="0" borderId="14" xfId="1" applyFont="1" applyFill="1" applyBorder="1" applyAlignment="1">
      <alignment horizontal="right" vertical="center"/>
    </xf>
    <xf numFmtId="164" fontId="5" fillId="0" borderId="14" xfId="1" applyNumberFormat="1" applyFont="1" applyFill="1" applyBorder="1" applyAlignment="1">
      <alignment horizontal="right" vertical="center"/>
    </xf>
    <xf numFmtId="0" fontId="6" fillId="0" borderId="14" xfId="0" applyFont="1" applyBorder="1" applyAlignment="1">
      <alignment horizontal="center"/>
    </xf>
    <xf numFmtId="3" fontId="6" fillId="0" borderId="14" xfId="0" applyNumberFormat="1" applyFont="1" applyBorder="1" applyAlignment="1">
      <alignment horizontal="center"/>
    </xf>
    <xf numFmtId="3" fontId="6" fillId="0" borderId="14" xfId="0" applyNumberFormat="1" applyFont="1" applyBorder="1"/>
    <xf numFmtId="3" fontId="6" fillId="0" borderId="3" xfId="0" applyNumberFormat="1" applyFont="1" applyBorder="1" applyAlignment="1">
      <alignment horizontal="center"/>
    </xf>
    <xf numFmtId="164" fontId="6" fillId="0" borderId="10" xfId="0" applyNumberFormat="1" applyFont="1" applyBorder="1"/>
    <xf numFmtId="0" fontId="6" fillId="0" borderId="10" xfId="0" applyFont="1" applyBorder="1"/>
    <xf numFmtId="3" fontId="6" fillId="0" borderId="1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bd9c1a3905eaffe/Transform/Vibe%20Coding/Fixed%20Assets%20and%20Depreciation/V-904_Fixed_Asset_FY%202024-25.xlsx" TargetMode="External"/><Relationship Id="rId1" Type="http://schemas.openxmlformats.org/officeDocument/2006/relationships/externalLinkPath" Target="/abd9c1a3905eaffe/Transform/Vibe%20Coding/Fixed%20Assets%20and%20Depreciation/V-904_Fixed_Asset_FY%202024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"/>
      <sheetName val="1"/>
      <sheetName val="2"/>
      <sheetName val="3"/>
      <sheetName val="4"/>
      <sheetName val="5"/>
      <sheetName val="6"/>
      <sheetName val="7"/>
      <sheetName val="8"/>
      <sheetName val="Queries"/>
    </sheetNames>
    <sheetDataSet>
      <sheetData sheetId="0">
        <row r="2">
          <cell r="B2" t="str">
            <v>Velav Garments India Private Limited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C14" sqref="C14"/>
    </sheetView>
  </sheetViews>
  <sheetFormatPr defaultRowHeight="15" x14ac:dyDescent="0.25"/>
  <cols>
    <col min="1" max="1" width="47" bestFit="1" customWidth="1"/>
    <col min="2" max="2" width="9.28515625" bestFit="1" customWidth="1"/>
    <col min="3" max="3" width="17.7109375" customWidth="1"/>
    <col min="4" max="5" width="17.85546875" bestFit="1" customWidth="1"/>
    <col min="6" max="6" width="14.5703125" bestFit="1" customWidth="1"/>
    <col min="7" max="7" width="11.42578125" bestFit="1" customWidth="1"/>
    <col min="8" max="8" width="10.42578125" bestFit="1" customWidth="1"/>
    <col min="9" max="9" width="15.140625" bestFit="1" customWidth="1"/>
    <col min="10" max="10" width="15.28515625" bestFit="1" customWidth="1"/>
    <col min="11" max="11" width="14.7109375" customWidth="1"/>
    <col min="12" max="12" width="15.42578125" customWidth="1"/>
    <col min="13" max="13" width="13.140625" bestFit="1" customWidth="1"/>
    <col min="14" max="14" width="15.140625" bestFit="1" customWidth="1"/>
  </cols>
  <sheetData>
    <row r="1" spans="1:14" ht="19.5" x14ac:dyDescent="0.3">
      <c r="A1" s="1" t="str">
        <f>[1]Parameter!B2</f>
        <v>Velav Garments India Private Limited</v>
      </c>
      <c r="E1" s="1"/>
      <c r="L1" s="2" t="s">
        <v>0</v>
      </c>
    </row>
    <row r="2" spans="1:14" ht="19.5" x14ac:dyDescent="0.3">
      <c r="A2" s="1"/>
      <c r="L2" s="2" t="s">
        <v>1</v>
      </c>
    </row>
    <row r="3" spans="1:14" ht="19.5" x14ac:dyDescent="0.3">
      <c r="B3" s="3"/>
      <c r="C3" s="4" t="s">
        <v>2</v>
      </c>
      <c r="D3" s="5">
        <v>45383</v>
      </c>
      <c r="E3" s="6" t="s">
        <v>3</v>
      </c>
      <c r="F3" s="5">
        <v>45747</v>
      </c>
      <c r="G3" s="5"/>
      <c r="H3" s="3"/>
    </row>
    <row r="4" spans="1:14" ht="15.75" x14ac:dyDescent="0.25">
      <c r="K4" s="7"/>
      <c r="L4" s="7"/>
    </row>
    <row r="5" spans="1:14" ht="19.5" x14ac:dyDescent="0.3">
      <c r="A5" s="1" t="s">
        <v>44</v>
      </c>
      <c r="C5" s="8" t="s">
        <v>1</v>
      </c>
    </row>
    <row r="8" spans="1:14" ht="66" x14ac:dyDescent="0.25">
      <c r="A8" s="9"/>
      <c r="B8" s="10" t="s">
        <v>4</v>
      </c>
      <c r="C8" s="11" t="s">
        <v>5</v>
      </c>
      <c r="D8" s="12" t="s">
        <v>6</v>
      </c>
      <c r="E8" s="13"/>
      <c r="F8" s="14"/>
      <c r="G8" s="11" t="s">
        <v>7</v>
      </c>
      <c r="H8" s="11" t="s">
        <v>7</v>
      </c>
      <c r="I8" s="15" t="s">
        <v>8</v>
      </c>
      <c r="J8" s="10" t="s">
        <v>9</v>
      </c>
      <c r="K8" s="16" t="s">
        <v>10</v>
      </c>
      <c r="L8" s="16" t="s">
        <v>10</v>
      </c>
      <c r="M8" s="16" t="s">
        <v>11</v>
      </c>
      <c r="N8" s="11" t="s">
        <v>12</v>
      </c>
    </row>
    <row r="9" spans="1:14" ht="16.5" x14ac:dyDescent="0.25">
      <c r="A9" s="17" t="s">
        <v>13</v>
      </c>
      <c r="B9" s="18" t="s">
        <v>14</v>
      </c>
      <c r="C9" s="19" t="s">
        <v>15</v>
      </c>
      <c r="D9" s="20" t="s">
        <v>16</v>
      </c>
      <c r="E9" s="15" t="s">
        <v>17</v>
      </c>
      <c r="F9" s="21" t="s">
        <v>18</v>
      </c>
      <c r="G9" s="17" t="s">
        <v>19</v>
      </c>
      <c r="H9" s="17" t="s">
        <v>20</v>
      </c>
      <c r="I9" s="22" t="s">
        <v>21</v>
      </c>
      <c r="J9" s="23" t="s">
        <v>22</v>
      </c>
      <c r="K9" s="23" t="s">
        <v>23</v>
      </c>
      <c r="L9" s="23" t="s">
        <v>24</v>
      </c>
      <c r="M9" s="23" t="s">
        <v>22</v>
      </c>
      <c r="N9" s="19" t="s">
        <v>25</v>
      </c>
    </row>
    <row r="10" spans="1:14" ht="16.5" x14ac:dyDescent="0.25">
      <c r="A10" s="24"/>
      <c r="B10" s="25"/>
      <c r="C10" s="26">
        <v>45383</v>
      </c>
      <c r="D10" s="27">
        <v>2024</v>
      </c>
      <c r="E10" s="28">
        <v>2024</v>
      </c>
      <c r="F10" s="29"/>
      <c r="G10" s="24" t="s">
        <v>26</v>
      </c>
      <c r="H10" s="24" t="s">
        <v>27</v>
      </c>
      <c r="I10" s="30">
        <v>45747</v>
      </c>
      <c r="J10" s="31" t="s">
        <v>28</v>
      </c>
      <c r="K10" s="31" t="s">
        <v>29</v>
      </c>
      <c r="L10" s="31" t="s">
        <v>29</v>
      </c>
      <c r="M10" s="31" t="s">
        <v>28</v>
      </c>
      <c r="N10" s="26" t="s">
        <v>30</v>
      </c>
    </row>
    <row r="11" spans="1:14" ht="16.5" x14ac:dyDescent="0.25">
      <c r="A11" s="32"/>
      <c r="B11" s="33"/>
      <c r="C11" s="34" t="s">
        <v>31</v>
      </c>
      <c r="D11" s="34" t="s">
        <v>31</v>
      </c>
      <c r="E11" s="34" t="s">
        <v>31</v>
      </c>
      <c r="F11" s="33"/>
      <c r="G11" s="33" t="s">
        <v>31</v>
      </c>
      <c r="H11" s="33" t="s">
        <v>31</v>
      </c>
      <c r="I11" s="33" t="s">
        <v>31</v>
      </c>
      <c r="J11" s="33" t="s">
        <v>31</v>
      </c>
      <c r="K11" s="33" t="s">
        <v>31</v>
      </c>
      <c r="L11" s="33" t="s">
        <v>31</v>
      </c>
      <c r="M11" s="33" t="s">
        <v>31</v>
      </c>
      <c r="N11" s="33" t="s">
        <v>31</v>
      </c>
    </row>
    <row r="12" spans="1:14" ht="16.5" x14ac:dyDescent="0.25">
      <c r="A12" s="35" t="s">
        <v>32</v>
      </c>
      <c r="B12" s="36" t="s">
        <v>33</v>
      </c>
      <c r="C12" s="37"/>
      <c r="D12" s="38">
        <v>0</v>
      </c>
      <c r="E12" s="38">
        <v>2730770</v>
      </c>
      <c r="F12" s="39"/>
      <c r="G12" s="39">
        <v>0</v>
      </c>
      <c r="H12" s="39">
        <v>0</v>
      </c>
      <c r="I12" s="39">
        <f>+C12+D12+E12-H12-F12-G12</f>
        <v>2730770</v>
      </c>
      <c r="J12" s="39">
        <f t="shared" ref="J12" si="0">+ROUND((C12+D12-H12-F12-G12)*B12+E12*B12/2,0)</f>
        <v>0</v>
      </c>
      <c r="K12" s="39">
        <v>0</v>
      </c>
      <c r="L12" s="39">
        <v>0</v>
      </c>
      <c r="M12" s="39">
        <f>+J12+K12-L12</f>
        <v>0</v>
      </c>
      <c r="N12" s="39">
        <f>+I12-M12</f>
        <v>2730770</v>
      </c>
    </row>
    <row r="13" spans="1:14" ht="16.5" x14ac:dyDescent="0.25">
      <c r="A13" s="35" t="s">
        <v>34</v>
      </c>
      <c r="B13" s="36" t="s">
        <v>35</v>
      </c>
      <c r="C13" s="37"/>
      <c r="D13" s="38">
        <v>0</v>
      </c>
      <c r="E13" s="38">
        <v>0</v>
      </c>
      <c r="F13" s="39"/>
      <c r="G13" s="39">
        <v>0</v>
      </c>
      <c r="H13" s="39">
        <v>0</v>
      </c>
      <c r="I13" s="39">
        <f t="shared" ref="I13:I18" si="1">+C13+D13+E13-H13-F13-G13</f>
        <v>0</v>
      </c>
      <c r="J13" s="39">
        <f>+ROUND((C13+D13-H13-F13-G13)*B13+(E13*B13)/2,0)</f>
        <v>0</v>
      </c>
      <c r="K13" s="39">
        <v>0</v>
      </c>
      <c r="L13" s="39">
        <v>0</v>
      </c>
      <c r="M13" s="39">
        <f t="shared" ref="M13:M19" si="2">+J13+K13-L13</f>
        <v>0</v>
      </c>
      <c r="N13" s="39">
        <f>+I13-M13</f>
        <v>0</v>
      </c>
    </row>
    <row r="14" spans="1:14" ht="16.5" x14ac:dyDescent="0.25">
      <c r="A14" s="40" t="s">
        <v>36</v>
      </c>
      <c r="B14" s="36" t="s">
        <v>37</v>
      </c>
      <c r="C14" s="37">
        <v>23019702</v>
      </c>
      <c r="D14" s="38">
        <v>7496855.1799999997</v>
      </c>
      <c r="E14" s="38">
        <v>13791080.75</v>
      </c>
      <c r="F14" s="39"/>
      <c r="G14" s="39">
        <v>0</v>
      </c>
      <c r="H14" s="39">
        <v>40602</v>
      </c>
      <c r="I14" s="39">
        <f>+C14+D14+E14-H14-F14-G14</f>
        <v>44267035.93</v>
      </c>
      <c r="J14" s="39">
        <f>+ROUND((C14+D14-H14-F14-G14)*B14+(E14*B14)/2,0)</f>
        <v>5605724</v>
      </c>
      <c r="K14" s="39"/>
      <c r="L14" s="39"/>
      <c r="M14" s="39">
        <f>+J14+K14+L14</f>
        <v>5605724</v>
      </c>
      <c r="N14" s="39">
        <f>+I14-M14</f>
        <v>38661311.93</v>
      </c>
    </row>
    <row r="15" spans="1:14" ht="16.5" x14ac:dyDescent="0.25">
      <c r="A15" s="35" t="s">
        <v>38</v>
      </c>
      <c r="B15" s="36" t="s">
        <v>39</v>
      </c>
      <c r="C15" s="37"/>
      <c r="D15" s="38">
        <v>0</v>
      </c>
      <c r="E15" s="38">
        <v>0</v>
      </c>
      <c r="F15" s="39"/>
      <c r="G15" s="39">
        <v>0</v>
      </c>
      <c r="H15" s="39">
        <v>0</v>
      </c>
      <c r="I15" s="39">
        <f t="shared" si="1"/>
        <v>0</v>
      </c>
      <c r="J15" s="39">
        <f t="shared" ref="J15:J19" si="3">+ROUND((C15+D15-H15-F15-G15)*B15+(E15*B15)/2,0)</f>
        <v>0</v>
      </c>
      <c r="K15" s="39">
        <v>0</v>
      </c>
      <c r="L15" s="39">
        <v>0</v>
      </c>
      <c r="M15" s="39">
        <f t="shared" si="2"/>
        <v>0</v>
      </c>
      <c r="N15" s="39">
        <f t="shared" ref="N15:N17" si="4">+I15-M15</f>
        <v>0</v>
      </c>
    </row>
    <row r="16" spans="1:14" ht="16.5" x14ac:dyDescent="0.25">
      <c r="A16" s="40" t="s">
        <v>40</v>
      </c>
      <c r="B16" s="36" t="s">
        <v>37</v>
      </c>
      <c r="C16" s="37">
        <v>1914565</v>
      </c>
      <c r="D16" s="38">
        <v>140543.75</v>
      </c>
      <c r="E16" s="38">
        <v>225193.74</v>
      </c>
      <c r="F16" s="39"/>
      <c r="G16" s="39">
        <v>0</v>
      </c>
      <c r="H16" s="39">
        <v>0</v>
      </c>
      <c r="I16" s="39">
        <f t="shared" si="1"/>
        <v>2280302.4900000002</v>
      </c>
      <c r="J16" s="39">
        <f t="shared" si="3"/>
        <v>325156</v>
      </c>
      <c r="K16" s="39">
        <v>0</v>
      </c>
      <c r="L16" s="39">
        <v>0</v>
      </c>
      <c r="M16" s="39">
        <f t="shared" si="2"/>
        <v>325156</v>
      </c>
      <c r="N16" s="39">
        <f t="shared" si="4"/>
        <v>1955146.4900000002</v>
      </c>
    </row>
    <row r="17" spans="1:14" ht="16.5" x14ac:dyDescent="0.25">
      <c r="A17" s="41" t="s">
        <v>41</v>
      </c>
      <c r="B17" s="36" t="s">
        <v>37</v>
      </c>
      <c r="C17" s="37">
        <v>1299292</v>
      </c>
      <c r="D17" s="38">
        <v>99599.5</v>
      </c>
      <c r="E17" s="38">
        <v>0</v>
      </c>
      <c r="F17" s="39"/>
      <c r="G17" s="39">
        <v>0</v>
      </c>
      <c r="H17" s="39"/>
      <c r="I17" s="39">
        <f t="shared" si="1"/>
        <v>1398891.5</v>
      </c>
      <c r="J17" s="39">
        <f>+ROUND((C17+D17-H17-F17-G17)*B17+(E17*B17)/2,0)</f>
        <v>209834</v>
      </c>
      <c r="K17" s="39">
        <v>0</v>
      </c>
      <c r="L17" s="39">
        <v>0</v>
      </c>
      <c r="M17" s="39">
        <f t="shared" si="2"/>
        <v>209834</v>
      </c>
      <c r="N17" s="39">
        <f t="shared" si="4"/>
        <v>1189057.5</v>
      </c>
    </row>
    <row r="18" spans="1:14" ht="16.5" x14ac:dyDescent="0.25">
      <c r="A18" s="35" t="s">
        <v>42</v>
      </c>
      <c r="B18" s="36" t="s">
        <v>35</v>
      </c>
      <c r="C18" s="37">
        <v>2911192</v>
      </c>
      <c r="D18" s="38">
        <v>2824100.86</v>
      </c>
      <c r="E18" s="38">
        <v>1353380.51</v>
      </c>
      <c r="F18" s="39"/>
      <c r="G18" s="39">
        <v>0</v>
      </c>
      <c r="H18" s="39">
        <v>0</v>
      </c>
      <c r="I18" s="39">
        <f t="shared" si="1"/>
        <v>7088673.3699999992</v>
      </c>
      <c r="J18" s="39">
        <f t="shared" si="3"/>
        <v>641198</v>
      </c>
      <c r="K18" s="39">
        <v>0</v>
      </c>
      <c r="L18" s="39">
        <v>0</v>
      </c>
      <c r="M18" s="39">
        <f t="shared" si="2"/>
        <v>641198</v>
      </c>
      <c r="N18" s="39">
        <f>+I18-M18</f>
        <v>6447475.3699999992</v>
      </c>
    </row>
    <row r="19" spans="1:14" ht="16.5" x14ac:dyDescent="0.25">
      <c r="A19" s="35" t="s">
        <v>43</v>
      </c>
      <c r="B19" s="36" t="s">
        <v>39</v>
      </c>
      <c r="C19" s="37">
        <v>485453</v>
      </c>
      <c r="D19" s="38">
        <v>315250</v>
      </c>
      <c r="E19" s="38">
        <v>116250</v>
      </c>
      <c r="F19" s="39"/>
      <c r="G19" s="39">
        <v>0</v>
      </c>
      <c r="H19" s="39">
        <v>0</v>
      </c>
      <c r="I19" s="39">
        <f>+C19+D19+E19-H19-F19-G19</f>
        <v>916953</v>
      </c>
      <c r="J19" s="39">
        <f t="shared" si="3"/>
        <v>343531</v>
      </c>
      <c r="K19" s="39">
        <v>0</v>
      </c>
      <c r="L19" s="39">
        <v>0</v>
      </c>
      <c r="M19" s="39">
        <f t="shared" si="2"/>
        <v>343531</v>
      </c>
      <c r="N19" s="39">
        <f>+I19-M19</f>
        <v>573422</v>
      </c>
    </row>
    <row r="20" spans="1:14" ht="16.5" x14ac:dyDescent="0.25">
      <c r="A20" s="42" t="s">
        <v>8</v>
      </c>
      <c r="B20" s="43"/>
      <c r="C20" s="44">
        <f>SUM(C12:C19)</f>
        <v>29630204</v>
      </c>
      <c r="D20" s="44">
        <f>SUM(D12:D19)</f>
        <v>10876349.289999999</v>
      </c>
      <c r="E20" s="44">
        <f t="shared" ref="E20:L20" si="5">SUM(E12:E19)</f>
        <v>18216675</v>
      </c>
      <c r="F20" s="45">
        <f t="shared" si="5"/>
        <v>0</v>
      </c>
      <c r="G20" s="45">
        <f t="shared" si="5"/>
        <v>0</v>
      </c>
      <c r="H20" s="45">
        <f t="shared" si="5"/>
        <v>40602</v>
      </c>
      <c r="I20" s="45">
        <f t="shared" si="5"/>
        <v>58682626.289999999</v>
      </c>
      <c r="J20" s="45">
        <f t="shared" si="5"/>
        <v>7125443</v>
      </c>
      <c r="K20" s="45">
        <f t="shared" si="5"/>
        <v>0</v>
      </c>
      <c r="L20" s="45">
        <f t="shared" si="5"/>
        <v>0</v>
      </c>
      <c r="M20" s="45">
        <f>SUM(M12:M19)</f>
        <v>7125443</v>
      </c>
      <c r="N20" s="45">
        <f>SUM(N12:N19)</f>
        <v>51557183.289999999</v>
      </c>
    </row>
    <row r="21" spans="1:14" ht="16.5" x14ac:dyDescent="0.25">
      <c r="A21" s="46"/>
      <c r="B21" s="47"/>
      <c r="C21" s="48"/>
      <c r="D21" s="49"/>
      <c r="E21" s="50"/>
      <c r="F21" s="51"/>
      <c r="G21" s="48"/>
      <c r="H21" s="48"/>
      <c r="I21" s="48"/>
      <c r="J21" s="48"/>
      <c r="K21" s="52"/>
      <c r="L21" s="52"/>
      <c r="M21" s="52"/>
      <c r="N21" s="51"/>
    </row>
  </sheetData>
  <mergeCells count="4">
    <mergeCell ref="K4:L4"/>
    <mergeCell ref="D8:F8"/>
    <mergeCell ref="B9:B10"/>
    <mergeCell ref="F9:F10"/>
  </mergeCells>
  <dataValidations count="1">
    <dataValidation type="list" allowBlank="1" showInputMessage="1" showErrorMessage="1" sqref="C5" xr:uid="{4920FCBD-54BC-43B9-939E-585FC5D98427}">
      <formula1>$L$1:$L$2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dhanshome</dc:creator>
  <cp:lastModifiedBy>Dhananjayan S</cp:lastModifiedBy>
  <dcterms:created xsi:type="dcterms:W3CDTF">2015-06-05T18:17:20Z</dcterms:created>
  <dcterms:modified xsi:type="dcterms:W3CDTF">2026-04-30T02:48:44Z</dcterms:modified>
</cp:coreProperties>
</file>